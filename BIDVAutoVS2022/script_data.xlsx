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cauva\Project\KinhDoanhThe\src\BIDVService\BIDVAutoVS2022\bin\Debug\net8.0\"/>
    </mc:Choice>
  </mc:AlternateContent>
  <bookViews>
    <workbookView xWindow="0" yWindow="0" windowWidth="30720" windowHeight="13128"/>
  </bookViews>
  <sheets>
    <sheet name="Sheet1" sheetId="1" r:id="rId1"/>
    <sheet name="dmbgd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" i="1"/>
  <c r="D3" i="2"/>
  <c r="D4" i="2"/>
  <c r="D5" i="2"/>
  <c r="D6" i="2"/>
  <c r="D7" i="2"/>
  <c r="D2" i="2"/>
</calcChain>
</file>

<file path=xl/sharedStrings.xml><?xml version="1.0" encoding="utf-8"?>
<sst xmlns="http://schemas.openxmlformats.org/spreadsheetml/2006/main" count="35" uniqueCount="34">
  <si>
    <t>stt</t>
  </si>
  <si>
    <t>on_off</t>
  </si>
  <si>
    <t>phong</t>
  </si>
  <si>
    <t>so_tien</t>
  </si>
  <si>
    <t>ten_cb</t>
  </si>
  <si>
    <t>PHAM THI THU QUYNH - TCHC</t>
  </si>
  <si>
    <t>pgd_duyet</t>
  </si>
  <si>
    <t>nhan</t>
  </si>
  <si>
    <t>han_muc</t>
  </si>
  <si>
    <t>so_hieu_vb</t>
  </si>
  <si>
    <t>ngay_hl</t>
  </si>
  <si>
    <t>mat_hang</t>
  </si>
  <si>
    <t>is_qua_tang</t>
  </si>
  <si>
    <t>NUOC UONG</t>
  </si>
  <si>
    <t>nd_trich_yeu</t>
  </si>
  <si>
    <t>TIEP KHACH HANG CONG TY TNHH THUONG MAI FRESH AND GREEN - CIF23357966</t>
  </si>
  <si>
    <t>ten</t>
  </si>
  <si>
    <t>ten_ngan</t>
  </si>
  <si>
    <t>ma</t>
  </si>
  <si>
    <t>gia tri day du</t>
  </si>
  <si>
    <t>viet</t>
  </si>
  <si>
    <t>Lê Hoàng Việt</t>
  </si>
  <si>
    <t>tra</t>
  </si>
  <si>
    <t>Lê Thanh Trà</t>
  </si>
  <si>
    <t>hong</t>
  </si>
  <si>
    <t>linh</t>
  </si>
  <si>
    <t>quang</t>
  </si>
  <si>
    <t>Lê Thị Kim Nhạn</t>
  </si>
  <si>
    <t>Nguyễn Thị Kim Hồng</t>
  </si>
  <si>
    <t>Trần Thành Linh</t>
  </si>
  <si>
    <t>Đỗ Anh Quang</t>
  </si>
  <si>
    <t>name_pgd</t>
  </si>
  <si>
    <t>san_pham</t>
  </si>
  <si>
    <t>pk_kh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</si>
</sst>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0" fontId="0" fillId="0" borderId="0" xfId="0" applyNumberFormat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tabSelected="1" workbookViewId="0">
      <pane ySplit="1" topLeftCell="A2" activePane="bottomLeft" state="frozen"/>
      <selection pane="bottomLeft" activeCell="N1" sqref="N1"/>
    </sheetView>
  </sheetViews>
  <sheetFormatPr defaultRowHeight="14.4" x14ac:dyDescent="0.3"/>
  <cols>
    <col min="4" max="4" width="17.21875" customWidth="1"/>
    <col min="5" max="6" width="17.21875" style="2" customWidth="1"/>
    <col min="7" max="7" width="29.88671875" customWidth="1"/>
    <col min="8" max="8" width="12" customWidth="1"/>
    <col min="9" max="9" width="14.21875" customWidth="1"/>
    <col min="10" max="10" width="33.6640625" customWidth="1"/>
    <col min="11" max="11" width="11.77734375" bestFit="1" customWidth="1"/>
    <col min="12" max="12" width="11" bestFit="1" customWidth="1"/>
    <col min="13" max="14" width="11" customWidth="1"/>
    <col min="15" max="15" width="21.88671875" style="7" bestFit="1" customWidth="1"/>
  </cols>
  <sheetData>
    <row r="1" spans="1:15" s="4" customFormat="1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9</v>
      </c>
      <c r="F1" s="5" t="s">
        <v>10</v>
      </c>
      <c r="G1" s="4" t="s">
        <v>4</v>
      </c>
      <c r="H1" s="4" t="s">
        <v>6</v>
      </c>
      <c r="I1" s="4" t="s">
        <v>8</v>
      </c>
      <c r="J1" s="4" t="s">
        <v>14</v>
      </c>
      <c r="K1" s="4" t="s">
        <v>11</v>
      </c>
      <c r="L1" s="4" t="s">
        <v>12</v>
      </c>
      <c r="M1" s="4" t="s">
        <v>32</v>
      </c>
      <c r="N1" s="4" t="s">
        <v>33</v>
      </c>
      <c r="O1" s="6" t="s">
        <v>31</v>
      </c>
    </row>
    <row r="2" spans="1:15" x14ac:dyDescent="0.3">
      <c r="A2">
        <v>1</v>
      </c>
      <c r="B2">
        <v>1</v>
      </c>
      <c r="C2">
        <v>521</v>
      </c>
      <c r="D2" s="1">
        <v>3910000</v>
      </c>
      <c r="E2" s="2">
        <v>22952</v>
      </c>
      <c r="F2" s="3">
        <v>46059</v>
      </c>
      <c r="G2" t="s">
        <v>5</v>
      </c>
      <c r="H2" t="s">
        <v>7</v>
      </c>
      <c r="I2" s="1">
        <v>5000000</v>
      </c>
      <c r="J2" s="1" t="s">
        <v>15</v>
      </c>
      <c r="K2" t="s">
        <v>13</v>
      </c>
      <c r="L2">
        <v>1</v>
      </c>
      <c r="O2" s="7">
        <f>VLOOKUP(H2,dmbgd!A:D,2,0)</f>
        <v>133598</v>
      </c>
    </row>
    <row r="3" spans="1:15" x14ac:dyDescent="0.3">
      <c r="O3" s="7" t="e">
        <f>VLOOKUP(H3,dmbgd!A:D,2,0)</f>
        <v>#N/A</v>
      </c>
    </row>
    <row r="4" spans="1:15" x14ac:dyDescent="0.3">
      <c r="O4" s="7" t="e">
        <f>VLOOKUP(H4,dmbgd!A:D,2,0)</f>
        <v>#N/A</v>
      </c>
    </row>
    <row r="5" spans="1:15" x14ac:dyDescent="0.3">
      <c r="O5" s="7" t="e">
        <f>VLOOKUP(H5,dmbgd!A:D,2,0)</f>
        <v>#N/A</v>
      </c>
    </row>
    <row r="6" spans="1:15" x14ac:dyDescent="0.3">
      <c r="O6" s="7" t="e">
        <f>VLOOKUP(H6,dmbgd!A:D,2,0)</f>
        <v>#N/A</v>
      </c>
    </row>
    <row r="7" spans="1:15" x14ac:dyDescent="0.3">
      <c r="O7" s="7" t="e">
        <f>VLOOKUP(H7,dmbgd!A:D,2,0)</f>
        <v>#N/A</v>
      </c>
    </row>
    <row r="8" spans="1:15" x14ac:dyDescent="0.3">
      <c r="O8" s="7" t="e">
        <f>VLOOKUP(H8,dmbgd!A:D,2,0)</f>
        <v>#N/A</v>
      </c>
    </row>
    <row r="9" spans="1:15" x14ac:dyDescent="0.3">
      <c r="O9" s="7" t="e">
        <f>VLOOKUP(H9,dmbgd!A:D,2,0)</f>
        <v>#N/A</v>
      </c>
    </row>
    <row r="10" spans="1:15" x14ac:dyDescent="0.3">
      <c r="O10" s="7" t="e">
        <f>VLOOKUP(H10,dmbgd!A:D,2,0)</f>
        <v>#N/A</v>
      </c>
    </row>
    <row r="11" spans="1:15" x14ac:dyDescent="0.3">
      <c r="O11" s="7" t="e">
        <f>VLOOKUP(H11,dmbgd!A:D,2,0)</f>
        <v>#N/A</v>
      </c>
    </row>
    <row r="12" spans="1:15" x14ac:dyDescent="0.3">
      <c r="O12" s="7" t="e">
        <f>VLOOKUP(H12,dmbgd!A:D,2,0)</f>
        <v>#N/A</v>
      </c>
    </row>
    <row r="13" spans="1:15" x14ac:dyDescent="0.3">
      <c r="O13" s="7" t="e">
        <f>VLOOKUP(H13,dmbgd!A:D,2,0)</f>
        <v>#N/A</v>
      </c>
    </row>
    <row r="14" spans="1:15" x14ac:dyDescent="0.3">
      <c r="O14" s="7" t="e">
        <f>VLOOKUP(H14,dmbgd!A:D,2,0)</f>
        <v>#N/A</v>
      </c>
    </row>
    <row r="15" spans="1:15" x14ac:dyDescent="0.3">
      <c r="O15" s="7" t="e">
        <f>VLOOKUP(H15,dmbgd!A:D,2,0)</f>
        <v>#N/A</v>
      </c>
    </row>
    <row r="16" spans="1:15" x14ac:dyDescent="0.3">
      <c r="O16" s="7" t="e">
        <f>VLOOKUP(H16,dmbgd!A:D,2,0)</f>
        <v>#N/A</v>
      </c>
    </row>
    <row r="17" spans="15:15" x14ac:dyDescent="0.3">
      <c r="O17" s="7" t="e">
        <f>VLOOKUP(H17,dmbgd!A:D,2,0)</f>
        <v>#N/A</v>
      </c>
    </row>
    <row r="18" spans="15:15" x14ac:dyDescent="0.3">
      <c r="O18" s="7" t="e">
        <f>VLOOKUP(H18,dmbgd!A:D,2,0)</f>
        <v>#N/A</v>
      </c>
    </row>
    <row r="19" spans="15:15" x14ac:dyDescent="0.3">
      <c r="O19" s="7" t="e">
        <f>VLOOKUP(H19,dmbgd!A:D,2,0)</f>
        <v>#N/A</v>
      </c>
    </row>
    <row r="20" spans="15:15" x14ac:dyDescent="0.3">
      <c r="O20" s="7" t="e">
        <f>VLOOKUP(H20,dmbgd!A:D,2,0)</f>
        <v>#N/A</v>
      </c>
    </row>
    <row r="21" spans="15:15" x14ac:dyDescent="0.3">
      <c r="O21" s="7" t="e">
        <f>VLOOKUP(H21,dmbgd!A:D,2,0)</f>
        <v>#N/A</v>
      </c>
    </row>
    <row r="22" spans="15:15" x14ac:dyDescent="0.3">
      <c r="O22" s="7" t="e">
        <f>VLOOKUP(H22,dmbgd!A:D,2,0)</f>
        <v>#N/A</v>
      </c>
    </row>
    <row r="23" spans="15:15" x14ac:dyDescent="0.3">
      <c r="O23" s="7" t="e">
        <f>VLOOKUP(H23,dmbgd!A:D,2,0)</f>
        <v>#N/A</v>
      </c>
    </row>
    <row r="24" spans="15:15" x14ac:dyDescent="0.3">
      <c r="O24" s="7" t="e">
        <f>VLOOKUP(H24,dmbgd!A:D,2,0)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C8" sqref="C8"/>
    </sheetView>
  </sheetViews>
  <sheetFormatPr defaultRowHeight="14.4" x14ac:dyDescent="0.3"/>
  <cols>
    <col min="3" max="3" width="12.21875" bestFit="1" customWidth="1"/>
    <col min="4" max="4" width="26.109375" bestFit="1" customWidth="1"/>
  </cols>
  <sheetData>
    <row r="1" spans="1:4" x14ac:dyDescent="0.3">
      <c r="A1" t="s">
        <v>17</v>
      </c>
      <c r="B1" t="s">
        <v>18</v>
      </c>
      <c r="C1" t="s">
        <v>16</v>
      </c>
      <c r="D1" t="s">
        <v>19</v>
      </c>
    </row>
    <row r="2" spans="1:4" x14ac:dyDescent="0.3">
      <c r="A2" t="s">
        <v>20</v>
      </c>
      <c r="B2">
        <v>133361</v>
      </c>
      <c r="C2" t="s">
        <v>21</v>
      </c>
      <c r="D2" t="str">
        <f>B2 &amp; " - " &amp; C2</f>
        <v>133361 - Lê Hoàng Việt</v>
      </c>
    </row>
    <row r="3" spans="1:4" x14ac:dyDescent="0.3">
      <c r="A3" t="s">
        <v>22</v>
      </c>
      <c r="B3">
        <v>149200</v>
      </c>
      <c r="C3" t="s">
        <v>23</v>
      </c>
      <c r="D3" t="str">
        <f t="shared" ref="D3:D7" si="0">B3 &amp; " - " &amp; C3</f>
        <v>149200 - Lê Thanh Trà</v>
      </c>
    </row>
    <row r="4" spans="1:4" x14ac:dyDescent="0.3">
      <c r="A4" t="s">
        <v>7</v>
      </c>
      <c r="B4">
        <v>133598</v>
      </c>
      <c r="C4" t="s">
        <v>27</v>
      </c>
      <c r="D4" t="str">
        <f t="shared" si="0"/>
        <v>133598 - Lê Thị Kim Nhạn</v>
      </c>
    </row>
    <row r="5" spans="1:4" x14ac:dyDescent="0.3">
      <c r="A5" t="s">
        <v>24</v>
      </c>
      <c r="B5">
        <v>133471</v>
      </c>
      <c r="C5" t="s">
        <v>28</v>
      </c>
      <c r="D5" t="str">
        <f t="shared" si="0"/>
        <v>133471 - Nguyễn Thị Kim Hồng</v>
      </c>
    </row>
    <row r="6" spans="1:4" x14ac:dyDescent="0.3">
      <c r="A6" t="s">
        <v>25</v>
      </c>
      <c r="B6">
        <v>155674</v>
      </c>
      <c r="C6" t="s">
        <v>29</v>
      </c>
      <c r="D6" t="str">
        <f t="shared" si="0"/>
        <v>155674 - Trần Thành Linh</v>
      </c>
    </row>
    <row r="7" spans="1:4" x14ac:dyDescent="0.3">
      <c r="A7" t="s">
        <v>26</v>
      </c>
      <c r="B7">
        <v>153933</v>
      </c>
      <c r="C7" t="s">
        <v>30</v>
      </c>
      <c r="D7" t="str">
        <f t="shared" si="0"/>
        <v>153933 - Đỗ Anh Quang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dmbgd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bidvadmin</dc:creator>
  <cp:lastModifiedBy>bidvadmin</cp:lastModifiedBy>
  <dcterms:created xsi:type="dcterms:W3CDTF">2026-03-04T06:53:11Z</dcterms:created>
  <dcterms:modified xsi:type="dcterms:W3CDTF">2026-03-09T02:41:56Z</dcterms:modified>
</cp:coreProperties>
</file>